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ae6367f40d6a73a/Desktop/grad school/DTSC 691 Capstone/ll84-anomaly-detection/reports/"/>
    </mc:Choice>
  </mc:AlternateContent>
  <xr:revisionPtr revIDLastSave="1" documentId="11_EB55F1CF41A3B2178382FF921F24A0B4AA56AC68" xr6:coauthVersionLast="47" xr6:coauthVersionMax="47" xr10:uidLastSave="{396A1291-E53B-4A87-832C-539E07E5C034}"/>
  <bookViews>
    <workbookView xWindow="23880" yWindow="-120" windowWidth="29040" windowHeight="15720" activeTab="1" xr2:uid="{00000000-000D-0000-FFFF-FFFF00000000}"/>
  </bookViews>
  <sheets>
    <sheet name="Instructions" sheetId="1" r:id="rId1"/>
    <sheet name="Audit" sheetId="2" r:id="rId2"/>
    <sheet name="Key (open after auditing)" sheetId="3" r:id="rId3"/>
  </sheets>
  <calcPr calcId="0"/>
</workbook>
</file>

<file path=xl/sharedStrings.xml><?xml version="1.0" encoding="utf-8"?>
<sst xmlns="http://schemas.openxmlformats.org/spreadsheetml/2006/main" count="354" uniqueCount="141">
  <si>
    <t>50-building domain audit (blind)</t>
  </si>
  <si>
    <t>Rows are shuffled and the model's rank is hidden on purpose, so judge each building on its own merits.</t>
  </si>
  <si>
    <t>For each building choose one classification in the 'Your classification' column:</t>
  </si>
  <si>
    <t xml:space="preserve">  Plausible Anomaly = EUI is unusual and you can think of a real operational reason (inefficiency, odd use, etc.)</t>
  </si>
  <si>
    <t xml:space="preserve">  Data Error = the numbers look like a reporting mistake (unit error, wrong area, default values, impossible EUI)</t>
  </si>
  <si>
    <t xml:space="preserve">  Normal = nothing unusual for this property type, size and age</t>
  </si>
  <si>
    <t>Useful context to check: EUI change 2023 to 2024, fuel shares, default/estimated flags, the property name and address.</t>
  </si>
  <si>
    <t>When finished, save this file; the 'Key' sheet (do not open until done) shows which rows were top vs mid ranked.</t>
  </si>
  <si>
    <t>ID</t>
  </si>
  <si>
    <t>Property ID</t>
  </si>
  <si>
    <t>Name</t>
  </si>
  <si>
    <t>Address</t>
  </si>
  <si>
    <t>Borough</t>
  </si>
  <si>
    <t>Property type</t>
  </si>
  <si>
    <t>Year built</t>
  </si>
  <si>
    <t>Floor area (ft2)</t>
  </si>
  <si>
    <t>Site EUI 2023</t>
  </si>
  <si>
    <t>Site EUI 2024</t>
  </si>
  <si>
    <t>Model expected EUI</t>
  </si>
  <si>
    <t>Electric share</t>
  </si>
  <si>
    <t>Gas share</t>
  </si>
  <si>
    <t>Steam share</t>
  </si>
  <si>
    <t>Oil share</t>
  </si>
  <si>
    <t>Occupancy %</t>
  </si>
  <si>
    <t>Default values flag</t>
  </si>
  <si>
    <t>Estimated energy flag</t>
  </si>
  <si>
    <t>Your classification</t>
  </si>
  <si>
    <t>Notes</t>
  </si>
  <si>
    <t>BDG - Gotham Plaza and Smile Residences</t>
  </si>
  <si>
    <t>149 EAST 125 STREET</t>
  </si>
  <si>
    <t>MANHATTAN</t>
  </si>
  <si>
    <t>Multifamily Housing</t>
  </si>
  <si>
    <t>JK: 580 East 21st Street</t>
  </si>
  <si>
    <t>580 East 21st Street</t>
  </si>
  <si>
    <t>BROOKLYN</t>
  </si>
  <si>
    <t>60 Warren Street</t>
  </si>
  <si>
    <t>755 Bedford Ave</t>
  </si>
  <si>
    <t>Vernon Avenue HDFC</t>
  </si>
  <si>
    <t>358 Vernon Avenue</t>
  </si>
  <si>
    <t>Wavecrest - 950 Summit Avenue</t>
  </si>
  <si>
    <t>946 Summit Avenue</t>
  </si>
  <si>
    <t>BRONX</t>
  </si>
  <si>
    <t>1176-1188 Webster Avenue</t>
  </si>
  <si>
    <t>Supermarket/Grocery Store</t>
  </si>
  <si>
    <t>Dream: 204 West 55th St.</t>
  </si>
  <si>
    <t>204 West 55th Street</t>
  </si>
  <si>
    <t>Arden: 131 Beach 119th St</t>
  </si>
  <si>
    <t>131 Beach 119th St</t>
  </si>
  <si>
    <t>QUEENS</t>
  </si>
  <si>
    <t>Ruskin Apartments - 6640 108 ST</t>
  </si>
  <si>
    <t>6640 108 Street</t>
  </si>
  <si>
    <t>AB One - 550 Food Center Drive</t>
  </si>
  <si>
    <t>550 Food Center Drive</t>
  </si>
  <si>
    <t>Refrigerated Warehouse</t>
  </si>
  <si>
    <t>344 E 28th Street</t>
  </si>
  <si>
    <t>463 1 Avenue</t>
  </si>
  <si>
    <t>150 East 72nd St</t>
  </si>
  <si>
    <t>993 LEXINGTON AVE.</t>
  </si>
  <si>
    <t>RED HOOK WEST - Bldg #19 - NGrid - 426 COLUMBIA ST</t>
  </si>
  <si>
    <t>426 COLUMBIA ST</t>
  </si>
  <si>
    <t>RIIS - SITES 9-13</t>
  </si>
  <si>
    <t>134 AVENUE D</t>
  </si>
  <si>
    <t>2010 Ocean Avenue</t>
  </si>
  <si>
    <t>315 West 99th Street - CEC</t>
  </si>
  <si>
    <t>315 West 99th Street</t>
  </si>
  <si>
    <t>Moss: 88 Seaman Ave.</t>
  </si>
  <si>
    <t>88 Seaman Avenue</t>
  </si>
  <si>
    <t>625 Howard Avenue</t>
  </si>
  <si>
    <t>Century Dev: 11-36 45th Rd</t>
  </si>
  <si>
    <t>11-36 45th Rd</t>
  </si>
  <si>
    <t>Office</t>
  </si>
  <si>
    <t>National Energy Cost Services Inc:474-482 FULTON STREET</t>
  </si>
  <si>
    <t>474-482 FULTON STREET</t>
  </si>
  <si>
    <t>Retail Store</t>
  </si>
  <si>
    <t>ROOSEVELT I/ROOSEVELT II - OIL</t>
  </si>
  <si>
    <t>153 MARCUS GARVEY BOULEVARD</t>
  </si>
  <si>
    <t>Stahl York (415 East 64th Street)</t>
  </si>
  <si>
    <t>415 East 64th Street</t>
  </si>
  <si>
    <t>3030 Valentine Avenue</t>
  </si>
  <si>
    <t>TLJV3 - tlj3ny00 - 1500 Bassett Ave., Bronx, New York</t>
  </si>
  <si>
    <t>1500 Bassett Ave</t>
  </si>
  <si>
    <t>Non-Refrigerated Warehouse</t>
  </si>
  <si>
    <t>Stellar - 2-4 West 111th Street</t>
  </si>
  <si>
    <t>1316 5th Avenue</t>
  </si>
  <si>
    <t>Parkchester South - 2039437501</t>
  </si>
  <si>
    <t>2000 East Tremont Avenue</t>
  </si>
  <si>
    <t>315 E 106th St</t>
  </si>
  <si>
    <t>315 East 106th Street</t>
  </si>
  <si>
    <t>U-Haul Moving and Storage of Albany-Menands (800074)</t>
  </si>
  <si>
    <t>125 Broadway Menands, NY 12204</t>
  </si>
  <si>
    <t>Self-Storage Facility</t>
  </si>
  <si>
    <t>2071 2nd Ave</t>
  </si>
  <si>
    <t>Geffner House</t>
  </si>
  <si>
    <t>351 W. 42Nd Street</t>
  </si>
  <si>
    <t>JNJ United LLC - 3047 Brighton 13th st</t>
  </si>
  <si>
    <t>3047 Brighton 13th st</t>
  </si>
  <si>
    <t>Century - 508 - 516 East 78th Street (Child - 509 East 77th)</t>
  </si>
  <si>
    <t>509 EAST 77 STREET</t>
  </si>
  <si>
    <t>183 East Broadway</t>
  </si>
  <si>
    <t>BERNSTEIN REAL ESTATE:350 7 AVENUE.</t>
  </si>
  <si>
    <t>350 7 AVENUE</t>
  </si>
  <si>
    <t>984 Woodycrest Avenue</t>
  </si>
  <si>
    <t>961 Eastern Realty Co. Inc.</t>
  </si>
  <si>
    <t>961 EASTERN PKWY</t>
  </si>
  <si>
    <t>AKAM - 1349 Lexington Avenue</t>
  </si>
  <si>
    <t>1349 Lexington Avenue</t>
  </si>
  <si>
    <t>Namdar Realty Group: 321 W 44th St</t>
  </si>
  <si>
    <t>321 W 44th St</t>
  </si>
  <si>
    <t>Glenwood - Briar Hill - Child #1</t>
  </si>
  <si>
    <t>600 West 246th Street</t>
  </si>
  <si>
    <t>1600 Ocean Pkwy, Brooklyn, NY 11230, USA</t>
  </si>
  <si>
    <t>1600 Ocean Pkwy</t>
  </si>
  <si>
    <t>Monarch - 251 West 14th Street</t>
  </si>
  <si>
    <t>251 West 14th Street</t>
  </si>
  <si>
    <t>Wallack - 43 West 13th Street</t>
  </si>
  <si>
    <t>43 WEST 13 STREET</t>
  </si>
  <si>
    <t>208 East 28th Street</t>
  </si>
  <si>
    <t>208 E. 28Th Street</t>
  </si>
  <si>
    <t>Royal Associates</t>
  </si>
  <si>
    <t>37-15 83rd St</t>
  </si>
  <si>
    <t>LOST AAR: 410 West 23rd Street (child)</t>
  </si>
  <si>
    <t>400-410 West 23rd Street</t>
  </si>
  <si>
    <t>HOWARD AVENUE</t>
  </si>
  <si>
    <t>32 GRAFTON STREET</t>
  </si>
  <si>
    <t>288 West 238th Street</t>
  </si>
  <si>
    <t>43 East 19th Street</t>
  </si>
  <si>
    <t>Helmsley Spear - 83 Maiden Lane</t>
  </si>
  <si>
    <t>83 Maiden Lane</t>
  </si>
  <si>
    <t>audit_id</t>
  </si>
  <si>
    <t>group</t>
  </si>
  <si>
    <t>score_pertype</t>
  </si>
  <si>
    <t>score_global</t>
  </si>
  <si>
    <t>if_score</t>
  </si>
  <si>
    <t>baseline_ratio</t>
  </si>
  <si>
    <t>top</t>
  </si>
  <si>
    <t>mid</t>
  </si>
  <si>
    <t>Plausible Anomaly</t>
  </si>
  <si>
    <t>Data Error</t>
  </si>
  <si>
    <t>Normal</t>
  </si>
  <si>
    <t>lower EUI possibly replaced w/more efficient equipment, energy management systems, etc</t>
  </si>
  <si>
    <t>higher EUI possibly aged equipment/increased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</si>
</sst>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7F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defaultRowHeight="15" x14ac:dyDescent="0.25"/>
  <cols>
    <col min="1" max="1" width="120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1"/>
  <sheetViews>
    <sheetView tabSelected="1" workbookViewId="0">
      <pane xSplit="2" ySplit="1" topLeftCell="G2" activePane="bottomRight" state="frozen"/>
      <selection pane="topRight"/>
      <selection pane="bottomLeft"/>
      <selection pane="bottomRight" activeCell="T52" sqref="T52"/>
    </sheetView>
  </sheetViews>
  <sheetFormatPr defaultRowHeight="15" x14ac:dyDescent="0.25"/>
  <cols>
    <col min="1" max="2" width="14" customWidth="1"/>
    <col min="3" max="4" width="38" customWidth="1"/>
    <col min="5" max="5" width="14" customWidth="1"/>
    <col min="6" max="6" width="21" customWidth="1"/>
    <col min="7" max="18" width="14" customWidth="1"/>
    <col min="19" max="19" width="24" customWidth="1"/>
    <col min="20" max="20" width="38" customWidth="1"/>
  </cols>
  <sheetData>
    <row r="1" spans="1:20" ht="32.1" customHeigh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</row>
    <row r="2" spans="1:20" x14ac:dyDescent="0.25">
      <c r="A2">
        <v>1</v>
      </c>
      <c r="B2">
        <v>39399892</v>
      </c>
      <c r="C2" t="s">
        <v>28</v>
      </c>
      <c r="D2" t="s">
        <v>29</v>
      </c>
      <c r="E2" t="s">
        <v>30</v>
      </c>
      <c r="F2" t="s">
        <v>31</v>
      </c>
      <c r="G2">
        <v>2020</v>
      </c>
      <c r="H2">
        <v>404415</v>
      </c>
      <c r="J2">
        <v>11.4</v>
      </c>
      <c r="K2">
        <v>30.5</v>
      </c>
      <c r="L2">
        <v>0.89</v>
      </c>
      <c r="M2">
        <v>0.11</v>
      </c>
      <c r="N2">
        <v>0</v>
      </c>
      <c r="O2">
        <v>0</v>
      </c>
      <c r="P2">
        <v>75</v>
      </c>
      <c r="Q2">
        <v>0</v>
      </c>
      <c r="R2">
        <v>1</v>
      </c>
      <c r="S2" t="s">
        <v>137</v>
      </c>
    </row>
    <row r="3" spans="1:20" x14ac:dyDescent="0.25">
      <c r="A3">
        <v>2</v>
      </c>
      <c r="B3">
        <v>3094923</v>
      </c>
      <c r="C3" t="s">
        <v>32</v>
      </c>
      <c r="D3" t="s">
        <v>33</v>
      </c>
      <c r="E3" t="s">
        <v>34</v>
      </c>
      <c r="F3" t="s">
        <v>31</v>
      </c>
      <c r="G3">
        <v>1961</v>
      </c>
      <c r="H3">
        <v>65814</v>
      </c>
      <c r="I3">
        <v>101.3</v>
      </c>
      <c r="J3">
        <v>148.4</v>
      </c>
      <c r="K3">
        <v>52.8</v>
      </c>
      <c r="L3">
        <v>0.36</v>
      </c>
      <c r="M3">
        <v>0.64</v>
      </c>
      <c r="N3">
        <v>0</v>
      </c>
      <c r="O3">
        <v>0</v>
      </c>
      <c r="P3">
        <v>100</v>
      </c>
      <c r="Q3">
        <v>0</v>
      </c>
      <c r="R3">
        <v>0</v>
      </c>
      <c r="S3" t="s">
        <v>136</v>
      </c>
    </row>
    <row r="4" spans="1:20" x14ac:dyDescent="0.25">
      <c r="A4">
        <v>3</v>
      </c>
      <c r="B4">
        <v>53948494</v>
      </c>
      <c r="C4" t="s">
        <v>35</v>
      </c>
      <c r="D4" t="s">
        <v>35</v>
      </c>
      <c r="E4" t="s">
        <v>30</v>
      </c>
      <c r="F4" t="s">
        <v>31</v>
      </c>
      <c r="G4">
        <v>1950</v>
      </c>
      <c r="H4">
        <v>32485</v>
      </c>
      <c r="J4">
        <v>79</v>
      </c>
      <c r="K4">
        <v>21</v>
      </c>
      <c r="L4">
        <v>0.78</v>
      </c>
      <c r="M4">
        <v>0.22</v>
      </c>
      <c r="N4">
        <v>0</v>
      </c>
      <c r="O4">
        <v>0</v>
      </c>
      <c r="P4">
        <v>100</v>
      </c>
      <c r="Q4">
        <v>0</v>
      </c>
      <c r="R4">
        <v>0</v>
      </c>
      <c r="S4" t="s">
        <v>136</v>
      </c>
    </row>
    <row r="5" spans="1:20" x14ac:dyDescent="0.25">
      <c r="A5">
        <v>4</v>
      </c>
      <c r="B5">
        <v>16732050</v>
      </c>
      <c r="C5" t="s">
        <v>36</v>
      </c>
      <c r="D5" t="s">
        <v>36</v>
      </c>
      <c r="E5" t="s">
        <v>34</v>
      </c>
      <c r="F5" t="s">
        <v>31</v>
      </c>
      <c r="G5">
        <v>2019</v>
      </c>
      <c r="H5">
        <v>39485</v>
      </c>
      <c r="I5">
        <v>16.7</v>
      </c>
      <c r="J5">
        <v>17.399999999999999</v>
      </c>
      <c r="K5">
        <v>20.5</v>
      </c>
      <c r="L5">
        <v>0</v>
      </c>
      <c r="M5">
        <v>1</v>
      </c>
      <c r="N5">
        <v>0</v>
      </c>
      <c r="O5">
        <v>0</v>
      </c>
      <c r="P5">
        <v>85</v>
      </c>
      <c r="Q5">
        <v>0</v>
      </c>
      <c r="R5">
        <v>0</v>
      </c>
      <c r="S5" t="s">
        <v>138</v>
      </c>
      <c r="T5" t="s">
        <v>140</v>
      </c>
    </row>
    <row r="6" spans="1:20" x14ac:dyDescent="0.25">
      <c r="A6">
        <v>5</v>
      </c>
      <c r="B6">
        <v>9848400</v>
      </c>
      <c r="C6" t="s">
        <v>37</v>
      </c>
      <c r="D6" t="s">
        <v>38</v>
      </c>
      <c r="E6" t="s">
        <v>34</v>
      </c>
      <c r="F6" t="s">
        <v>31</v>
      </c>
      <c r="G6">
        <v>2000</v>
      </c>
      <c r="H6">
        <v>53234</v>
      </c>
      <c r="I6">
        <v>74</v>
      </c>
      <c r="J6">
        <v>74.2</v>
      </c>
      <c r="K6">
        <v>86.6</v>
      </c>
      <c r="L6">
        <v>0.12</v>
      </c>
      <c r="M6">
        <v>0.88</v>
      </c>
      <c r="N6">
        <v>0</v>
      </c>
      <c r="O6">
        <v>0</v>
      </c>
      <c r="P6">
        <v>100</v>
      </c>
      <c r="Q6">
        <v>0</v>
      </c>
      <c r="R6">
        <v>0</v>
      </c>
      <c r="S6" t="s">
        <v>138</v>
      </c>
      <c r="T6" t="s">
        <v>140</v>
      </c>
    </row>
    <row r="7" spans="1:20" x14ac:dyDescent="0.25">
      <c r="A7">
        <v>6</v>
      </c>
      <c r="B7">
        <v>6672939</v>
      </c>
      <c r="C7" t="s">
        <v>39</v>
      </c>
      <c r="D7" t="s">
        <v>40</v>
      </c>
      <c r="E7" t="s">
        <v>41</v>
      </c>
      <c r="F7" t="s">
        <v>31</v>
      </c>
      <c r="G7">
        <v>2015</v>
      </c>
      <c r="H7">
        <v>56413</v>
      </c>
      <c r="I7">
        <v>61.1</v>
      </c>
      <c r="J7">
        <v>55.3</v>
      </c>
      <c r="K7">
        <v>64.400000000000006</v>
      </c>
      <c r="L7">
        <v>0.36</v>
      </c>
      <c r="M7">
        <v>0.64</v>
      </c>
      <c r="N7">
        <v>0</v>
      </c>
      <c r="O7">
        <v>0</v>
      </c>
      <c r="P7">
        <v>100</v>
      </c>
      <c r="Q7">
        <v>0</v>
      </c>
      <c r="R7">
        <v>1</v>
      </c>
      <c r="S7" t="s">
        <v>138</v>
      </c>
      <c r="T7" t="s">
        <v>140</v>
      </c>
    </row>
    <row r="8" spans="1:20" x14ac:dyDescent="0.25">
      <c r="A8">
        <v>7</v>
      </c>
      <c r="B8">
        <v>58216394</v>
      </c>
      <c r="C8" t="s">
        <v>42</v>
      </c>
      <c r="D8" t="s">
        <v>42</v>
      </c>
      <c r="E8" t="s">
        <v>41</v>
      </c>
      <c r="F8" t="s">
        <v>43</v>
      </c>
      <c r="G8">
        <v>1935</v>
      </c>
      <c r="H8">
        <v>29969</v>
      </c>
      <c r="J8">
        <v>13.2</v>
      </c>
      <c r="K8">
        <v>218.4</v>
      </c>
      <c r="L8">
        <v>0.75</v>
      </c>
      <c r="M8">
        <v>0.25</v>
      </c>
      <c r="N8">
        <v>0</v>
      </c>
      <c r="O8">
        <v>0</v>
      </c>
      <c r="P8">
        <v>100</v>
      </c>
      <c r="Q8">
        <v>1</v>
      </c>
      <c r="R8">
        <v>0</v>
      </c>
      <c r="S8" t="s">
        <v>137</v>
      </c>
    </row>
    <row r="9" spans="1:20" x14ac:dyDescent="0.25">
      <c r="A9">
        <v>8</v>
      </c>
      <c r="B9">
        <v>6816046</v>
      </c>
      <c r="C9" t="s">
        <v>44</v>
      </c>
      <c r="D9" t="s">
        <v>45</v>
      </c>
      <c r="E9" t="s">
        <v>30</v>
      </c>
      <c r="F9" t="s">
        <v>31</v>
      </c>
      <c r="G9">
        <v>1900</v>
      </c>
      <c r="H9">
        <v>46980</v>
      </c>
      <c r="I9">
        <v>220.5</v>
      </c>
      <c r="J9">
        <v>231.1</v>
      </c>
      <c r="K9">
        <v>68</v>
      </c>
      <c r="L9">
        <v>0.35</v>
      </c>
      <c r="M9">
        <v>0.65</v>
      </c>
      <c r="N9">
        <v>0</v>
      </c>
      <c r="O9">
        <v>0</v>
      </c>
      <c r="P9">
        <v>100</v>
      </c>
      <c r="Q9">
        <v>0</v>
      </c>
      <c r="R9">
        <v>1</v>
      </c>
      <c r="S9" t="s">
        <v>137</v>
      </c>
    </row>
    <row r="10" spans="1:20" x14ac:dyDescent="0.25">
      <c r="A10">
        <v>9</v>
      </c>
      <c r="B10">
        <v>12711955</v>
      </c>
      <c r="C10" t="s">
        <v>46</v>
      </c>
      <c r="D10" t="s">
        <v>47</v>
      </c>
      <c r="E10" t="s">
        <v>48</v>
      </c>
      <c r="F10" t="s">
        <v>31</v>
      </c>
      <c r="G10">
        <v>1957</v>
      </c>
      <c r="H10">
        <v>37905</v>
      </c>
      <c r="I10">
        <v>6.1</v>
      </c>
      <c r="J10">
        <v>6</v>
      </c>
      <c r="K10">
        <v>53.4</v>
      </c>
      <c r="L10">
        <v>0.42</v>
      </c>
      <c r="M10">
        <v>0.57999999999999996</v>
      </c>
      <c r="N10">
        <v>0</v>
      </c>
      <c r="O10">
        <v>0</v>
      </c>
      <c r="P10">
        <v>100</v>
      </c>
      <c r="Q10">
        <v>0</v>
      </c>
      <c r="R10">
        <v>1</v>
      </c>
      <c r="S10" t="s">
        <v>137</v>
      </c>
    </row>
    <row r="11" spans="1:20" x14ac:dyDescent="0.25">
      <c r="A11">
        <v>10</v>
      </c>
      <c r="B11">
        <v>33875516</v>
      </c>
      <c r="C11" t="s">
        <v>49</v>
      </c>
      <c r="D11" t="s">
        <v>50</v>
      </c>
      <c r="E11" t="s">
        <v>48</v>
      </c>
      <c r="F11" t="s">
        <v>31</v>
      </c>
      <c r="G11">
        <v>1950</v>
      </c>
      <c r="H11">
        <v>31416</v>
      </c>
      <c r="I11">
        <v>67.900000000000006</v>
      </c>
      <c r="J11">
        <v>88.1</v>
      </c>
      <c r="K11">
        <v>77</v>
      </c>
      <c r="L11">
        <v>0</v>
      </c>
      <c r="M11">
        <v>1</v>
      </c>
      <c r="N11">
        <v>0</v>
      </c>
      <c r="O11">
        <v>0</v>
      </c>
      <c r="P11">
        <v>100</v>
      </c>
      <c r="Q11">
        <v>0</v>
      </c>
      <c r="R11">
        <v>0</v>
      </c>
      <c r="S11" t="s">
        <v>138</v>
      </c>
      <c r="T11" t="s">
        <v>139</v>
      </c>
    </row>
    <row r="12" spans="1:20" x14ac:dyDescent="0.25">
      <c r="A12">
        <v>11</v>
      </c>
      <c r="B12">
        <v>56266192</v>
      </c>
      <c r="C12" t="s">
        <v>51</v>
      </c>
      <c r="D12" t="s">
        <v>52</v>
      </c>
      <c r="E12" t="s">
        <v>41</v>
      </c>
      <c r="F12" t="s">
        <v>53</v>
      </c>
      <c r="G12">
        <v>2008</v>
      </c>
      <c r="H12">
        <v>145055</v>
      </c>
      <c r="J12">
        <v>96</v>
      </c>
      <c r="K12">
        <v>68.8</v>
      </c>
      <c r="L12">
        <v>0.8</v>
      </c>
      <c r="M12">
        <v>0.2</v>
      </c>
      <c r="N12">
        <v>0</v>
      </c>
      <c r="O12">
        <v>0</v>
      </c>
      <c r="P12">
        <v>100</v>
      </c>
      <c r="Q12">
        <v>1</v>
      </c>
      <c r="R12">
        <v>0</v>
      </c>
      <c r="S12" t="s">
        <v>137</v>
      </c>
    </row>
    <row r="13" spans="1:20" x14ac:dyDescent="0.25">
      <c r="A13">
        <v>12</v>
      </c>
      <c r="B13">
        <v>9563627</v>
      </c>
      <c r="C13" t="s">
        <v>54</v>
      </c>
      <c r="D13" t="s">
        <v>55</v>
      </c>
      <c r="E13" t="s">
        <v>30</v>
      </c>
      <c r="F13" t="s">
        <v>31</v>
      </c>
      <c r="G13">
        <v>1970</v>
      </c>
      <c r="H13">
        <v>218640</v>
      </c>
      <c r="I13">
        <v>94.4</v>
      </c>
      <c r="J13">
        <v>92.6</v>
      </c>
      <c r="K13">
        <v>79.099999999999994</v>
      </c>
      <c r="L13">
        <v>0.22</v>
      </c>
      <c r="M13">
        <v>0.04</v>
      </c>
      <c r="N13">
        <v>0.74</v>
      </c>
      <c r="O13">
        <v>0</v>
      </c>
      <c r="P13">
        <v>100</v>
      </c>
      <c r="Q13">
        <v>0</v>
      </c>
      <c r="R13">
        <v>1</v>
      </c>
      <c r="S13" t="s">
        <v>137</v>
      </c>
      <c r="T13" t="s">
        <v>139</v>
      </c>
    </row>
    <row r="14" spans="1:20" x14ac:dyDescent="0.25">
      <c r="A14">
        <v>13</v>
      </c>
      <c r="B14">
        <v>4407799</v>
      </c>
      <c r="C14" t="s">
        <v>56</v>
      </c>
      <c r="D14" t="s">
        <v>57</v>
      </c>
      <c r="E14" t="s">
        <v>30</v>
      </c>
      <c r="F14" t="s">
        <v>31</v>
      </c>
      <c r="G14">
        <v>1914</v>
      </c>
      <c r="H14">
        <v>72856</v>
      </c>
      <c r="I14">
        <v>60.6</v>
      </c>
      <c r="J14">
        <v>54.8</v>
      </c>
      <c r="K14">
        <v>47</v>
      </c>
      <c r="L14">
        <v>0.61</v>
      </c>
      <c r="M14">
        <v>0.39</v>
      </c>
      <c r="N14">
        <v>0</v>
      </c>
      <c r="O14">
        <v>0</v>
      </c>
      <c r="P14">
        <v>100</v>
      </c>
      <c r="Q14">
        <v>1</v>
      </c>
      <c r="R14">
        <v>1</v>
      </c>
      <c r="S14" t="s">
        <v>138</v>
      </c>
      <c r="T14" t="s">
        <v>139</v>
      </c>
    </row>
    <row r="15" spans="1:20" x14ac:dyDescent="0.25">
      <c r="A15">
        <v>14</v>
      </c>
      <c r="B15">
        <v>49731194</v>
      </c>
      <c r="C15" t="s">
        <v>58</v>
      </c>
      <c r="D15" t="s">
        <v>59</v>
      </c>
      <c r="E15" t="s">
        <v>34</v>
      </c>
      <c r="F15" t="s">
        <v>31</v>
      </c>
      <c r="G15">
        <v>1955</v>
      </c>
      <c r="H15">
        <v>156993</v>
      </c>
      <c r="J15">
        <v>197.2</v>
      </c>
      <c r="K15">
        <v>46.7</v>
      </c>
      <c r="L15">
        <v>0</v>
      </c>
      <c r="M15">
        <v>1</v>
      </c>
      <c r="N15">
        <v>0</v>
      </c>
      <c r="O15">
        <v>0</v>
      </c>
      <c r="P15">
        <v>100</v>
      </c>
      <c r="Q15">
        <v>1</v>
      </c>
      <c r="R15">
        <v>0</v>
      </c>
      <c r="S15" t="s">
        <v>137</v>
      </c>
    </row>
    <row r="16" spans="1:20" x14ac:dyDescent="0.25">
      <c r="A16">
        <v>15</v>
      </c>
      <c r="B16">
        <v>3128122</v>
      </c>
      <c r="C16" t="s">
        <v>60</v>
      </c>
      <c r="D16" t="s">
        <v>61</v>
      </c>
      <c r="E16" t="s">
        <v>30</v>
      </c>
      <c r="F16" t="s">
        <v>31</v>
      </c>
      <c r="G16">
        <v>1949</v>
      </c>
      <c r="H16">
        <v>395876</v>
      </c>
      <c r="I16">
        <v>140.5</v>
      </c>
      <c r="J16">
        <v>457.7</v>
      </c>
      <c r="K16">
        <v>104.2</v>
      </c>
      <c r="L16">
        <v>0.11</v>
      </c>
      <c r="M16">
        <v>0.89</v>
      </c>
      <c r="N16">
        <v>0</v>
      </c>
      <c r="O16">
        <v>0</v>
      </c>
      <c r="P16">
        <v>100</v>
      </c>
      <c r="Q16">
        <v>0</v>
      </c>
      <c r="R16">
        <v>0</v>
      </c>
      <c r="S16" t="s">
        <v>136</v>
      </c>
    </row>
    <row r="17" spans="1:20" x14ac:dyDescent="0.25">
      <c r="A17">
        <v>16</v>
      </c>
      <c r="B17">
        <v>6490789</v>
      </c>
      <c r="C17" t="s">
        <v>62</v>
      </c>
      <c r="D17" t="s">
        <v>62</v>
      </c>
      <c r="E17" t="s">
        <v>34</v>
      </c>
      <c r="F17" t="s">
        <v>31</v>
      </c>
      <c r="G17">
        <v>1928</v>
      </c>
      <c r="H17">
        <v>36484</v>
      </c>
      <c r="I17">
        <v>96.2</v>
      </c>
      <c r="J17">
        <v>90.8</v>
      </c>
      <c r="K17">
        <v>79.599999999999994</v>
      </c>
      <c r="L17">
        <v>0.19</v>
      </c>
      <c r="M17">
        <v>0.81</v>
      </c>
      <c r="N17">
        <v>0</v>
      </c>
      <c r="O17">
        <v>0</v>
      </c>
      <c r="P17">
        <v>100</v>
      </c>
      <c r="Q17">
        <v>0</v>
      </c>
      <c r="R17">
        <v>0</v>
      </c>
      <c r="S17" t="s">
        <v>138</v>
      </c>
      <c r="T17" t="s">
        <v>139</v>
      </c>
    </row>
    <row r="18" spans="1:20" x14ac:dyDescent="0.25">
      <c r="A18">
        <v>17</v>
      </c>
      <c r="B18">
        <v>55271896</v>
      </c>
      <c r="C18" t="s">
        <v>63</v>
      </c>
      <c r="D18" t="s">
        <v>64</v>
      </c>
      <c r="E18" t="s">
        <v>30</v>
      </c>
      <c r="F18" t="s">
        <v>31</v>
      </c>
      <c r="G18">
        <v>1920</v>
      </c>
      <c r="H18">
        <v>47824</v>
      </c>
      <c r="J18">
        <v>64.099999999999994</v>
      </c>
      <c r="K18">
        <v>77</v>
      </c>
      <c r="L18">
        <v>0.19</v>
      </c>
      <c r="M18">
        <v>0.81</v>
      </c>
      <c r="N18">
        <v>0</v>
      </c>
      <c r="O18">
        <v>0</v>
      </c>
      <c r="P18">
        <v>100</v>
      </c>
      <c r="Q18">
        <v>0</v>
      </c>
      <c r="R18">
        <v>0</v>
      </c>
      <c r="S18" t="s">
        <v>138</v>
      </c>
      <c r="T18" t="s">
        <v>140</v>
      </c>
    </row>
    <row r="19" spans="1:20" x14ac:dyDescent="0.25">
      <c r="A19">
        <v>18</v>
      </c>
      <c r="B19">
        <v>6802625</v>
      </c>
      <c r="C19" t="s">
        <v>65</v>
      </c>
      <c r="D19" t="s">
        <v>66</v>
      </c>
      <c r="E19" t="s">
        <v>30</v>
      </c>
      <c r="F19" t="s">
        <v>31</v>
      </c>
      <c r="G19">
        <v>1927</v>
      </c>
      <c r="H19">
        <v>32009</v>
      </c>
      <c r="I19">
        <v>15.2</v>
      </c>
      <c r="J19">
        <v>72.3</v>
      </c>
      <c r="K19">
        <v>85.3</v>
      </c>
      <c r="L19">
        <v>0.16</v>
      </c>
      <c r="M19">
        <v>0.05</v>
      </c>
      <c r="N19">
        <v>0</v>
      </c>
      <c r="O19">
        <v>0.79</v>
      </c>
      <c r="P19">
        <v>100</v>
      </c>
      <c r="Q19">
        <v>0</v>
      </c>
      <c r="R19">
        <v>1</v>
      </c>
      <c r="S19" t="s">
        <v>138</v>
      </c>
      <c r="T19" t="s">
        <v>140</v>
      </c>
    </row>
    <row r="20" spans="1:20" x14ac:dyDescent="0.25">
      <c r="A20">
        <v>19</v>
      </c>
      <c r="B20">
        <v>58928592</v>
      </c>
      <c r="C20" t="s">
        <v>67</v>
      </c>
      <c r="D20" t="s">
        <v>67</v>
      </c>
      <c r="E20" t="s">
        <v>34</v>
      </c>
      <c r="F20" t="s">
        <v>31</v>
      </c>
      <c r="G20">
        <v>1983</v>
      </c>
      <c r="H20">
        <v>25873</v>
      </c>
      <c r="J20">
        <v>5.9</v>
      </c>
      <c r="K20">
        <v>23.8</v>
      </c>
      <c r="L20">
        <v>0</v>
      </c>
      <c r="M20">
        <v>1</v>
      </c>
      <c r="N20">
        <v>0</v>
      </c>
      <c r="O20">
        <v>0</v>
      </c>
      <c r="P20">
        <v>100</v>
      </c>
      <c r="Q20">
        <v>1</v>
      </c>
      <c r="R20">
        <v>0</v>
      </c>
      <c r="S20" t="s">
        <v>136</v>
      </c>
    </row>
    <row r="21" spans="1:20" x14ac:dyDescent="0.25">
      <c r="A21">
        <v>20</v>
      </c>
      <c r="B21">
        <v>15658923</v>
      </c>
      <c r="C21" t="s">
        <v>68</v>
      </c>
      <c r="D21" t="s">
        <v>69</v>
      </c>
      <c r="E21" t="s">
        <v>48</v>
      </c>
      <c r="F21" t="s">
        <v>70</v>
      </c>
      <c r="G21">
        <v>1965</v>
      </c>
      <c r="H21">
        <v>56251</v>
      </c>
      <c r="I21">
        <v>1</v>
      </c>
      <c r="J21">
        <v>5.9</v>
      </c>
      <c r="K21">
        <v>35</v>
      </c>
      <c r="L21">
        <v>1</v>
      </c>
      <c r="M21">
        <v>0</v>
      </c>
      <c r="N21">
        <v>0</v>
      </c>
      <c r="O21">
        <v>0</v>
      </c>
      <c r="P21">
        <v>100</v>
      </c>
      <c r="Q21">
        <v>0</v>
      </c>
      <c r="R21">
        <v>1</v>
      </c>
      <c r="S21" t="s">
        <v>137</v>
      </c>
    </row>
    <row r="22" spans="1:20" x14ac:dyDescent="0.25">
      <c r="A22">
        <v>21</v>
      </c>
      <c r="B22">
        <v>58602292</v>
      </c>
      <c r="C22" t="s">
        <v>71</v>
      </c>
      <c r="D22" t="s">
        <v>72</v>
      </c>
      <c r="E22" t="s">
        <v>34</v>
      </c>
      <c r="F22" t="s">
        <v>73</v>
      </c>
      <c r="G22">
        <v>1920</v>
      </c>
      <c r="H22">
        <v>38421</v>
      </c>
      <c r="J22">
        <v>60.4</v>
      </c>
      <c r="K22">
        <v>84.9</v>
      </c>
      <c r="L22">
        <v>0.28999999999999998</v>
      </c>
      <c r="M22">
        <v>0.71</v>
      </c>
      <c r="N22">
        <v>0</v>
      </c>
      <c r="O22">
        <v>0</v>
      </c>
      <c r="P22">
        <v>100</v>
      </c>
      <c r="Q22">
        <v>1</v>
      </c>
      <c r="R22">
        <v>1</v>
      </c>
      <c r="S22" t="s">
        <v>137</v>
      </c>
      <c r="T22" t="s">
        <v>140</v>
      </c>
    </row>
    <row r="23" spans="1:20" x14ac:dyDescent="0.25">
      <c r="A23">
        <v>22</v>
      </c>
      <c r="B23">
        <v>3128123</v>
      </c>
      <c r="C23" t="s">
        <v>74</v>
      </c>
      <c r="D23" t="s">
        <v>75</v>
      </c>
      <c r="E23" t="s">
        <v>34</v>
      </c>
      <c r="F23" t="s">
        <v>31</v>
      </c>
      <c r="G23">
        <v>1964</v>
      </c>
      <c r="H23">
        <v>1074420</v>
      </c>
      <c r="I23">
        <v>26.5</v>
      </c>
      <c r="J23">
        <v>112.2</v>
      </c>
      <c r="K23">
        <v>22.6</v>
      </c>
      <c r="L23">
        <v>0</v>
      </c>
      <c r="M23">
        <v>0</v>
      </c>
      <c r="N23">
        <v>0</v>
      </c>
      <c r="O23">
        <v>1</v>
      </c>
      <c r="P23">
        <v>100</v>
      </c>
      <c r="Q23">
        <v>0</v>
      </c>
      <c r="R23">
        <v>0</v>
      </c>
      <c r="S23" t="s">
        <v>136</v>
      </c>
    </row>
    <row r="24" spans="1:20" x14ac:dyDescent="0.25">
      <c r="A24">
        <v>23</v>
      </c>
      <c r="B24">
        <v>34014902</v>
      </c>
      <c r="C24" t="s">
        <v>76</v>
      </c>
      <c r="D24" t="s">
        <v>77</v>
      </c>
      <c r="E24" t="s">
        <v>30</v>
      </c>
      <c r="F24" t="s">
        <v>31</v>
      </c>
      <c r="G24">
        <v>1903</v>
      </c>
      <c r="H24">
        <v>134040</v>
      </c>
      <c r="I24">
        <v>18.8</v>
      </c>
      <c r="J24">
        <v>13.3</v>
      </c>
      <c r="K24">
        <v>36.1</v>
      </c>
      <c r="L24">
        <v>0.86</v>
      </c>
      <c r="M24">
        <v>0.14000000000000001</v>
      </c>
      <c r="N24">
        <v>0</v>
      </c>
      <c r="O24">
        <v>0</v>
      </c>
      <c r="P24">
        <v>100</v>
      </c>
      <c r="Q24">
        <v>0</v>
      </c>
      <c r="R24">
        <v>0</v>
      </c>
      <c r="S24" t="s">
        <v>138</v>
      </c>
    </row>
    <row r="25" spans="1:20" x14ac:dyDescent="0.25">
      <c r="A25">
        <v>24</v>
      </c>
      <c r="B25">
        <v>33159318</v>
      </c>
      <c r="C25" t="s">
        <v>78</v>
      </c>
      <c r="D25" t="s">
        <v>78</v>
      </c>
      <c r="E25" t="s">
        <v>41</v>
      </c>
      <c r="F25" t="s">
        <v>31</v>
      </c>
      <c r="G25">
        <v>1924</v>
      </c>
      <c r="H25">
        <v>32415</v>
      </c>
      <c r="I25">
        <v>84.9</v>
      </c>
      <c r="J25">
        <v>84</v>
      </c>
      <c r="K25">
        <v>98.4</v>
      </c>
      <c r="L25">
        <v>0.15</v>
      </c>
      <c r="M25">
        <v>0.85</v>
      </c>
      <c r="N25">
        <v>0</v>
      </c>
      <c r="O25">
        <v>0</v>
      </c>
      <c r="P25">
        <v>100</v>
      </c>
      <c r="Q25">
        <v>0</v>
      </c>
      <c r="R25">
        <v>0</v>
      </c>
      <c r="S25" t="s">
        <v>138</v>
      </c>
    </row>
    <row r="26" spans="1:20" x14ac:dyDescent="0.25">
      <c r="A26">
        <v>25</v>
      </c>
      <c r="B26">
        <v>23955799</v>
      </c>
      <c r="C26" t="s">
        <v>79</v>
      </c>
      <c r="D26" t="s">
        <v>80</v>
      </c>
      <c r="E26" t="s">
        <v>41</v>
      </c>
      <c r="F26" t="s">
        <v>81</v>
      </c>
      <c r="G26">
        <v>2005</v>
      </c>
      <c r="H26">
        <v>365906</v>
      </c>
      <c r="I26">
        <v>42.8</v>
      </c>
      <c r="J26">
        <v>37.9</v>
      </c>
      <c r="K26">
        <v>56</v>
      </c>
      <c r="L26">
        <v>0.39</v>
      </c>
      <c r="M26">
        <v>0.61</v>
      </c>
      <c r="N26">
        <v>0</v>
      </c>
      <c r="O26">
        <v>0</v>
      </c>
      <c r="P26">
        <v>100</v>
      </c>
      <c r="Q26">
        <v>1</v>
      </c>
      <c r="R26">
        <v>0</v>
      </c>
      <c r="S26" t="s">
        <v>138</v>
      </c>
      <c r="T26" t="s">
        <v>140</v>
      </c>
    </row>
    <row r="27" spans="1:20" x14ac:dyDescent="0.25">
      <c r="A27">
        <v>26</v>
      </c>
      <c r="B27">
        <v>6690535</v>
      </c>
      <c r="C27" t="s">
        <v>82</v>
      </c>
      <c r="D27" t="s">
        <v>83</v>
      </c>
      <c r="E27" t="s">
        <v>30</v>
      </c>
      <c r="F27" t="s">
        <v>31</v>
      </c>
      <c r="G27">
        <v>1915</v>
      </c>
      <c r="H27">
        <v>25718</v>
      </c>
      <c r="I27">
        <v>202.5</v>
      </c>
      <c r="J27">
        <v>202.9</v>
      </c>
      <c r="K27">
        <v>79.3</v>
      </c>
      <c r="L27">
        <v>0.28000000000000003</v>
      </c>
      <c r="M27">
        <v>0.72</v>
      </c>
      <c r="N27">
        <v>0</v>
      </c>
      <c r="O27">
        <v>0</v>
      </c>
      <c r="P27">
        <v>100</v>
      </c>
      <c r="Q27">
        <v>0</v>
      </c>
      <c r="R27">
        <v>1</v>
      </c>
      <c r="S27" t="s">
        <v>137</v>
      </c>
    </row>
    <row r="28" spans="1:20" x14ac:dyDescent="0.25">
      <c r="A28">
        <v>27</v>
      </c>
      <c r="B28">
        <v>26643160</v>
      </c>
      <c r="C28" t="s">
        <v>84</v>
      </c>
      <c r="D28" t="s">
        <v>85</v>
      </c>
      <c r="E28" t="s">
        <v>41</v>
      </c>
      <c r="F28" t="s">
        <v>31</v>
      </c>
      <c r="G28">
        <v>1941</v>
      </c>
      <c r="H28">
        <v>3223909</v>
      </c>
      <c r="I28">
        <v>18</v>
      </c>
      <c r="J28">
        <v>18.7</v>
      </c>
      <c r="K28">
        <v>95.9</v>
      </c>
      <c r="L28">
        <v>0.71</v>
      </c>
      <c r="M28">
        <v>0.28999999999999998</v>
      </c>
      <c r="N28">
        <v>0</v>
      </c>
      <c r="O28">
        <v>0</v>
      </c>
      <c r="P28">
        <v>100</v>
      </c>
      <c r="Q28">
        <v>1</v>
      </c>
      <c r="R28">
        <v>1</v>
      </c>
      <c r="S28" t="s">
        <v>137</v>
      </c>
    </row>
    <row r="29" spans="1:20" x14ac:dyDescent="0.25">
      <c r="A29">
        <v>28</v>
      </c>
      <c r="B29">
        <v>11345366</v>
      </c>
      <c r="C29" t="s">
        <v>86</v>
      </c>
      <c r="D29" t="s">
        <v>87</v>
      </c>
      <c r="E29" t="s">
        <v>30</v>
      </c>
      <c r="F29" t="s">
        <v>31</v>
      </c>
      <c r="G29">
        <v>1961</v>
      </c>
      <c r="H29">
        <v>123995</v>
      </c>
      <c r="I29">
        <v>806.9</v>
      </c>
      <c r="J29">
        <v>803.6</v>
      </c>
      <c r="K29">
        <v>95.1</v>
      </c>
      <c r="L29">
        <v>0.17</v>
      </c>
      <c r="M29">
        <v>0.83</v>
      </c>
      <c r="N29">
        <v>0</v>
      </c>
      <c r="O29">
        <v>0</v>
      </c>
      <c r="P29">
        <v>95</v>
      </c>
      <c r="Q29">
        <v>0</v>
      </c>
      <c r="R29">
        <v>1</v>
      </c>
      <c r="S29" t="s">
        <v>137</v>
      </c>
    </row>
    <row r="30" spans="1:20" x14ac:dyDescent="0.25">
      <c r="A30">
        <v>29</v>
      </c>
      <c r="B30">
        <v>60891592</v>
      </c>
      <c r="C30" t="s">
        <v>88</v>
      </c>
      <c r="D30" t="s">
        <v>89</v>
      </c>
      <c r="F30" t="s">
        <v>90</v>
      </c>
      <c r="G30">
        <v>2017</v>
      </c>
      <c r="H30">
        <v>277845</v>
      </c>
      <c r="J30">
        <v>13.4</v>
      </c>
      <c r="K30">
        <v>20.399999999999999</v>
      </c>
      <c r="L30">
        <v>0.46</v>
      </c>
      <c r="M30">
        <v>0.54</v>
      </c>
      <c r="N30">
        <v>0</v>
      </c>
      <c r="O30">
        <v>0</v>
      </c>
      <c r="P30">
        <v>100</v>
      </c>
      <c r="Q30">
        <v>0</v>
      </c>
      <c r="R30">
        <v>0</v>
      </c>
      <c r="S30" t="s">
        <v>136</v>
      </c>
    </row>
    <row r="31" spans="1:20" x14ac:dyDescent="0.25">
      <c r="A31">
        <v>30</v>
      </c>
      <c r="B31">
        <v>11350838</v>
      </c>
      <c r="C31" t="s">
        <v>91</v>
      </c>
      <c r="D31" t="s">
        <v>91</v>
      </c>
      <c r="E31" t="s">
        <v>30</v>
      </c>
      <c r="F31" t="s">
        <v>31</v>
      </c>
      <c r="G31">
        <v>1961</v>
      </c>
      <c r="H31">
        <v>136005</v>
      </c>
      <c r="I31">
        <v>644.6</v>
      </c>
      <c r="J31">
        <v>659.9</v>
      </c>
      <c r="K31">
        <v>83.1</v>
      </c>
      <c r="L31">
        <v>0.19</v>
      </c>
      <c r="M31">
        <v>0.81</v>
      </c>
      <c r="N31">
        <v>0</v>
      </c>
      <c r="O31">
        <v>0</v>
      </c>
      <c r="P31">
        <v>95</v>
      </c>
      <c r="Q31">
        <v>0</v>
      </c>
      <c r="R31">
        <v>1</v>
      </c>
      <c r="S31" t="s">
        <v>137</v>
      </c>
    </row>
    <row r="32" spans="1:20" x14ac:dyDescent="0.25">
      <c r="A32">
        <v>31</v>
      </c>
      <c r="B32">
        <v>10759560</v>
      </c>
      <c r="C32" t="s">
        <v>92</v>
      </c>
      <c r="D32" t="s">
        <v>93</v>
      </c>
      <c r="E32" t="s">
        <v>30</v>
      </c>
      <c r="F32" t="s">
        <v>31</v>
      </c>
      <c r="G32">
        <v>1929</v>
      </c>
      <c r="H32">
        <v>117013</v>
      </c>
      <c r="I32">
        <v>93.5</v>
      </c>
      <c r="J32">
        <v>90.6</v>
      </c>
      <c r="K32">
        <v>79.5</v>
      </c>
      <c r="L32">
        <v>0.19</v>
      </c>
      <c r="M32">
        <v>0.04</v>
      </c>
      <c r="N32">
        <v>0</v>
      </c>
      <c r="O32">
        <v>0.77</v>
      </c>
      <c r="P32">
        <v>100</v>
      </c>
      <c r="Q32">
        <v>0</v>
      </c>
      <c r="R32">
        <v>1</v>
      </c>
      <c r="S32" t="s">
        <v>138</v>
      </c>
      <c r="T32" t="s">
        <v>139</v>
      </c>
    </row>
    <row r="33" spans="1:20" x14ac:dyDescent="0.25">
      <c r="A33">
        <v>32</v>
      </c>
      <c r="B33">
        <v>6589520</v>
      </c>
      <c r="C33" t="s">
        <v>94</v>
      </c>
      <c r="D33" t="s">
        <v>95</v>
      </c>
      <c r="E33" t="s">
        <v>34</v>
      </c>
      <c r="F33" t="s">
        <v>31</v>
      </c>
      <c r="G33">
        <v>1926</v>
      </c>
      <c r="H33">
        <v>30795</v>
      </c>
      <c r="I33">
        <v>72.900000000000006</v>
      </c>
      <c r="J33">
        <v>69.7</v>
      </c>
      <c r="K33">
        <v>83.7</v>
      </c>
      <c r="L33">
        <v>0.16</v>
      </c>
      <c r="M33">
        <v>0.84</v>
      </c>
      <c r="N33">
        <v>0</v>
      </c>
      <c r="O33">
        <v>0</v>
      </c>
      <c r="P33">
        <v>100</v>
      </c>
      <c r="Q33">
        <v>0</v>
      </c>
      <c r="R33">
        <v>0</v>
      </c>
      <c r="S33" t="s">
        <v>138</v>
      </c>
      <c r="T33" t="s">
        <v>140</v>
      </c>
    </row>
    <row r="34" spans="1:20" x14ac:dyDescent="0.25">
      <c r="A34">
        <v>33</v>
      </c>
      <c r="B34">
        <v>4039191</v>
      </c>
      <c r="C34" t="s">
        <v>96</v>
      </c>
      <c r="D34" t="s">
        <v>97</v>
      </c>
      <c r="E34" t="s">
        <v>30</v>
      </c>
      <c r="F34" t="s">
        <v>31</v>
      </c>
      <c r="G34">
        <v>1909</v>
      </c>
      <c r="H34">
        <v>50268</v>
      </c>
      <c r="I34">
        <v>173.1</v>
      </c>
      <c r="J34">
        <v>350</v>
      </c>
      <c r="K34">
        <v>115.1</v>
      </c>
      <c r="L34">
        <v>0.09</v>
      </c>
      <c r="M34">
        <v>0.91</v>
      </c>
      <c r="N34">
        <v>0</v>
      </c>
      <c r="O34">
        <v>0</v>
      </c>
      <c r="P34">
        <v>100</v>
      </c>
      <c r="Q34">
        <v>0</v>
      </c>
      <c r="R34">
        <v>1</v>
      </c>
      <c r="S34" t="s">
        <v>137</v>
      </c>
    </row>
    <row r="35" spans="1:20" x14ac:dyDescent="0.25">
      <c r="A35">
        <v>34</v>
      </c>
      <c r="B35">
        <v>11593194</v>
      </c>
      <c r="C35" t="s">
        <v>98</v>
      </c>
      <c r="D35" t="s">
        <v>98</v>
      </c>
      <c r="E35" t="s">
        <v>30</v>
      </c>
      <c r="F35" t="s">
        <v>31</v>
      </c>
      <c r="G35">
        <v>2007</v>
      </c>
      <c r="H35">
        <v>34666</v>
      </c>
      <c r="I35">
        <v>24.4</v>
      </c>
      <c r="J35">
        <v>19.100000000000001</v>
      </c>
      <c r="K35">
        <v>55.2</v>
      </c>
      <c r="L35">
        <v>0.54</v>
      </c>
      <c r="M35">
        <v>0.46</v>
      </c>
      <c r="N35">
        <v>0</v>
      </c>
      <c r="O35">
        <v>0</v>
      </c>
      <c r="P35">
        <v>100</v>
      </c>
      <c r="Q35">
        <v>0</v>
      </c>
      <c r="R35">
        <v>1</v>
      </c>
      <c r="S35" t="s">
        <v>137</v>
      </c>
      <c r="T35" t="s">
        <v>140</v>
      </c>
    </row>
    <row r="36" spans="1:20" x14ac:dyDescent="0.25">
      <c r="A36">
        <v>35</v>
      </c>
      <c r="B36">
        <v>57872592</v>
      </c>
      <c r="C36" t="s">
        <v>99</v>
      </c>
      <c r="D36" t="s">
        <v>100</v>
      </c>
      <c r="E36" t="s">
        <v>30</v>
      </c>
      <c r="F36" t="s">
        <v>70</v>
      </c>
      <c r="G36">
        <v>1927</v>
      </c>
      <c r="H36">
        <v>144083</v>
      </c>
      <c r="J36">
        <v>13.3</v>
      </c>
      <c r="K36">
        <v>65.900000000000006</v>
      </c>
      <c r="L36">
        <v>0.45</v>
      </c>
      <c r="M36">
        <v>0.55000000000000004</v>
      </c>
      <c r="N36">
        <v>0</v>
      </c>
      <c r="O36">
        <v>0</v>
      </c>
      <c r="P36">
        <v>100</v>
      </c>
      <c r="Q36">
        <v>1</v>
      </c>
      <c r="R36">
        <v>0</v>
      </c>
      <c r="S36" t="s">
        <v>137</v>
      </c>
    </row>
    <row r="37" spans="1:20" x14ac:dyDescent="0.25">
      <c r="A37">
        <v>36</v>
      </c>
      <c r="B37">
        <v>33189150</v>
      </c>
      <c r="C37" t="s">
        <v>101</v>
      </c>
      <c r="D37" t="s">
        <v>101</v>
      </c>
      <c r="E37" t="s">
        <v>41</v>
      </c>
      <c r="F37" t="s">
        <v>31</v>
      </c>
      <c r="G37">
        <v>2016</v>
      </c>
      <c r="H37">
        <v>31343</v>
      </c>
      <c r="I37">
        <v>46.8</v>
      </c>
      <c r="J37">
        <v>49.6</v>
      </c>
      <c r="K37">
        <v>42.2</v>
      </c>
      <c r="L37">
        <v>0.64</v>
      </c>
      <c r="M37">
        <v>0.36</v>
      </c>
      <c r="N37">
        <v>0</v>
      </c>
      <c r="O37">
        <v>0</v>
      </c>
      <c r="P37">
        <v>85</v>
      </c>
      <c r="Q37">
        <v>0</v>
      </c>
      <c r="R37">
        <v>1</v>
      </c>
      <c r="S37" t="s">
        <v>138</v>
      </c>
    </row>
    <row r="38" spans="1:20" x14ac:dyDescent="0.25">
      <c r="A38">
        <v>37</v>
      </c>
      <c r="B38">
        <v>2813849</v>
      </c>
      <c r="C38" t="s">
        <v>102</v>
      </c>
      <c r="D38" t="s">
        <v>103</v>
      </c>
      <c r="E38" t="s">
        <v>34</v>
      </c>
      <c r="F38" t="s">
        <v>31</v>
      </c>
      <c r="G38">
        <v>1925</v>
      </c>
      <c r="H38">
        <v>89547</v>
      </c>
      <c r="I38">
        <v>88</v>
      </c>
      <c r="J38">
        <v>58.5</v>
      </c>
      <c r="K38">
        <v>67.900000000000006</v>
      </c>
      <c r="L38">
        <v>0.17</v>
      </c>
      <c r="M38">
        <v>0.83</v>
      </c>
      <c r="N38">
        <v>0</v>
      </c>
      <c r="O38">
        <v>0</v>
      </c>
      <c r="P38">
        <v>100</v>
      </c>
      <c r="Q38">
        <v>0</v>
      </c>
      <c r="R38">
        <v>0</v>
      </c>
      <c r="S38" t="s">
        <v>138</v>
      </c>
    </row>
    <row r="39" spans="1:20" x14ac:dyDescent="0.25">
      <c r="A39">
        <v>38</v>
      </c>
      <c r="B39">
        <v>6667536</v>
      </c>
      <c r="C39" t="s">
        <v>104</v>
      </c>
      <c r="D39" t="s">
        <v>105</v>
      </c>
      <c r="E39" t="s">
        <v>30</v>
      </c>
      <c r="F39" t="s">
        <v>31</v>
      </c>
      <c r="G39">
        <v>1922</v>
      </c>
      <c r="H39">
        <v>123520</v>
      </c>
      <c r="I39">
        <v>62.4</v>
      </c>
      <c r="J39">
        <v>53.5</v>
      </c>
      <c r="K39">
        <v>63.5</v>
      </c>
      <c r="L39">
        <v>0.25</v>
      </c>
      <c r="M39">
        <v>0.03</v>
      </c>
      <c r="N39">
        <v>0</v>
      </c>
      <c r="O39">
        <v>0.72</v>
      </c>
      <c r="P39">
        <v>100</v>
      </c>
      <c r="Q39">
        <v>0</v>
      </c>
      <c r="R39">
        <v>1</v>
      </c>
      <c r="S39" t="s">
        <v>138</v>
      </c>
      <c r="T39" t="s">
        <v>140</v>
      </c>
    </row>
    <row r="40" spans="1:20" x14ac:dyDescent="0.25">
      <c r="A40">
        <v>39</v>
      </c>
      <c r="B40">
        <v>55465192</v>
      </c>
      <c r="C40" t="s">
        <v>106</v>
      </c>
      <c r="D40" t="s">
        <v>107</v>
      </c>
      <c r="E40" t="s">
        <v>30</v>
      </c>
      <c r="F40" t="s">
        <v>70</v>
      </c>
      <c r="G40">
        <v>1931</v>
      </c>
      <c r="H40">
        <v>193858</v>
      </c>
      <c r="J40">
        <v>52.8</v>
      </c>
      <c r="K40">
        <v>64.900000000000006</v>
      </c>
      <c r="L40">
        <v>0.56000000000000005</v>
      </c>
      <c r="M40">
        <v>0.26</v>
      </c>
      <c r="N40">
        <v>0</v>
      </c>
      <c r="O40">
        <v>0.18</v>
      </c>
      <c r="P40">
        <v>100</v>
      </c>
      <c r="Q40">
        <v>1</v>
      </c>
      <c r="R40">
        <v>0</v>
      </c>
      <c r="S40" t="s">
        <v>138</v>
      </c>
      <c r="T40" t="s">
        <v>140</v>
      </c>
    </row>
    <row r="41" spans="1:20" x14ac:dyDescent="0.25">
      <c r="A41">
        <v>40</v>
      </c>
      <c r="B41">
        <v>4036590</v>
      </c>
      <c r="C41" t="s">
        <v>108</v>
      </c>
      <c r="D41" t="s">
        <v>109</v>
      </c>
      <c r="E41" t="s">
        <v>41</v>
      </c>
      <c r="F41" t="s">
        <v>31</v>
      </c>
      <c r="G41">
        <v>1958</v>
      </c>
      <c r="H41">
        <v>72137</v>
      </c>
      <c r="I41">
        <v>111.7</v>
      </c>
      <c r="J41">
        <v>563.1</v>
      </c>
      <c r="K41">
        <v>88.8</v>
      </c>
      <c r="L41">
        <v>0.18</v>
      </c>
      <c r="M41">
        <v>0.03</v>
      </c>
      <c r="N41">
        <v>0</v>
      </c>
      <c r="O41">
        <v>0.79</v>
      </c>
      <c r="P41">
        <v>100</v>
      </c>
      <c r="Q41">
        <v>0</v>
      </c>
      <c r="R41">
        <v>1</v>
      </c>
      <c r="S41" t="s">
        <v>137</v>
      </c>
    </row>
    <row r="42" spans="1:20" x14ac:dyDescent="0.25">
      <c r="A42">
        <v>41</v>
      </c>
      <c r="B42">
        <v>49211195</v>
      </c>
      <c r="C42" t="s">
        <v>110</v>
      </c>
      <c r="D42" t="s">
        <v>111</v>
      </c>
      <c r="E42" t="s">
        <v>34</v>
      </c>
      <c r="F42" t="s">
        <v>31</v>
      </c>
      <c r="G42">
        <v>1940</v>
      </c>
      <c r="H42">
        <v>69035</v>
      </c>
      <c r="J42">
        <v>89</v>
      </c>
      <c r="K42">
        <v>77.099999999999994</v>
      </c>
      <c r="L42">
        <v>0.12</v>
      </c>
      <c r="M42">
        <v>0</v>
      </c>
      <c r="N42">
        <v>0</v>
      </c>
      <c r="O42">
        <v>0.88</v>
      </c>
      <c r="P42">
        <v>100</v>
      </c>
      <c r="Q42">
        <v>0</v>
      </c>
      <c r="R42">
        <v>0</v>
      </c>
      <c r="S42" t="s">
        <v>138</v>
      </c>
      <c r="T42" t="s">
        <v>139</v>
      </c>
    </row>
    <row r="43" spans="1:20" x14ac:dyDescent="0.25">
      <c r="A43">
        <v>42</v>
      </c>
      <c r="B43">
        <v>46874796</v>
      </c>
      <c r="C43" t="s">
        <v>112</v>
      </c>
      <c r="D43" t="s">
        <v>113</v>
      </c>
      <c r="E43" t="s">
        <v>30</v>
      </c>
      <c r="F43" t="s">
        <v>31</v>
      </c>
      <c r="G43">
        <v>2018</v>
      </c>
      <c r="H43">
        <v>117466</v>
      </c>
      <c r="J43">
        <v>13.1</v>
      </c>
      <c r="K43">
        <v>34.9</v>
      </c>
      <c r="L43">
        <v>0.95</v>
      </c>
      <c r="M43">
        <v>0.05</v>
      </c>
      <c r="N43">
        <v>0</v>
      </c>
      <c r="O43">
        <v>0</v>
      </c>
      <c r="P43">
        <v>80</v>
      </c>
      <c r="Q43">
        <v>0</v>
      </c>
      <c r="R43">
        <v>0</v>
      </c>
      <c r="S43" t="s">
        <v>138</v>
      </c>
      <c r="T43" t="s">
        <v>140</v>
      </c>
    </row>
    <row r="44" spans="1:20" x14ac:dyDescent="0.25">
      <c r="A44">
        <v>43</v>
      </c>
      <c r="B44">
        <v>36500729</v>
      </c>
      <c r="C44" t="s">
        <v>114</v>
      </c>
      <c r="D44" t="s">
        <v>115</v>
      </c>
      <c r="E44" t="s">
        <v>30</v>
      </c>
      <c r="F44" t="s">
        <v>31</v>
      </c>
      <c r="G44">
        <v>1906</v>
      </c>
      <c r="H44">
        <v>51558</v>
      </c>
      <c r="J44">
        <v>20.100000000000001</v>
      </c>
      <c r="K44">
        <v>23.9</v>
      </c>
      <c r="L44">
        <v>0.76</v>
      </c>
      <c r="M44">
        <v>0.24</v>
      </c>
      <c r="N44">
        <v>0</v>
      </c>
      <c r="O44">
        <v>0</v>
      </c>
      <c r="P44">
        <v>100</v>
      </c>
      <c r="Q44">
        <v>0</v>
      </c>
      <c r="R44">
        <v>0</v>
      </c>
      <c r="S44" t="s">
        <v>138</v>
      </c>
    </row>
    <row r="45" spans="1:20" x14ac:dyDescent="0.25">
      <c r="A45">
        <v>44</v>
      </c>
      <c r="B45">
        <v>2973444</v>
      </c>
      <c r="C45" t="s">
        <v>116</v>
      </c>
      <c r="D45" t="s">
        <v>117</v>
      </c>
      <c r="E45" t="s">
        <v>30</v>
      </c>
      <c r="F45" t="s">
        <v>31</v>
      </c>
      <c r="G45">
        <v>1940</v>
      </c>
      <c r="H45">
        <v>49970</v>
      </c>
      <c r="I45">
        <v>66.8</v>
      </c>
      <c r="J45">
        <v>63.9</v>
      </c>
      <c r="K45">
        <v>75.5</v>
      </c>
      <c r="L45">
        <v>0.24</v>
      </c>
      <c r="M45">
        <v>0.76</v>
      </c>
      <c r="N45">
        <v>0</v>
      </c>
      <c r="O45">
        <v>0</v>
      </c>
      <c r="P45">
        <v>100</v>
      </c>
      <c r="Q45">
        <v>0</v>
      </c>
      <c r="R45">
        <v>1</v>
      </c>
      <c r="S45" t="s">
        <v>138</v>
      </c>
      <c r="T45" t="s">
        <v>140</v>
      </c>
    </row>
    <row r="46" spans="1:20" x14ac:dyDescent="0.25">
      <c r="A46">
        <v>45</v>
      </c>
      <c r="B46">
        <v>11561185</v>
      </c>
      <c r="C46" t="s">
        <v>118</v>
      </c>
      <c r="D46" t="s">
        <v>119</v>
      </c>
      <c r="E46" t="s">
        <v>48</v>
      </c>
      <c r="F46" t="s">
        <v>31</v>
      </c>
      <c r="G46">
        <v>1926</v>
      </c>
      <c r="H46">
        <v>180828</v>
      </c>
      <c r="J46">
        <v>166.8</v>
      </c>
      <c r="K46">
        <v>45.7</v>
      </c>
      <c r="L46">
        <v>0.51</v>
      </c>
      <c r="M46">
        <v>0.49</v>
      </c>
      <c r="N46">
        <v>0</v>
      </c>
      <c r="O46">
        <v>0</v>
      </c>
      <c r="P46">
        <v>95</v>
      </c>
      <c r="Q46">
        <v>0</v>
      </c>
      <c r="R46">
        <v>1</v>
      </c>
      <c r="S46" t="s">
        <v>137</v>
      </c>
    </row>
    <row r="47" spans="1:20" x14ac:dyDescent="0.25">
      <c r="A47">
        <v>46</v>
      </c>
      <c r="B47">
        <v>6282377</v>
      </c>
      <c r="C47" t="s">
        <v>120</v>
      </c>
      <c r="D47" t="s">
        <v>121</v>
      </c>
      <c r="E47" t="s">
        <v>30</v>
      </c>
      <c r="F47" t="s">
        <v>31</v>
      </c>
      <c r="G47">
        <v>1920</v>
      </c>
      <c r="H47">
        <v>39141</v>
      </c>
      <c r="J47">
        <v>216.4</v>
      </c>
      <c r="K47">
        <v>79.8</v>
      </c>
      <c r="L47">
        <v>0.21</v>
      </c>
      <c r="M47">
        <v>0.79</v>
      </c>
      <c r="N47">
        <v>0</v>
      </c>
      <c r="O47">
        <v>0</v>
      </c>
      <c r="P47">
        <v>100</v>
      </c>
      <c r="Q47">
        <v>1</v>
      </c>
      <c r="R47">
        <v>1</v>
      </c>
      <c r="S47" t="s">
        <v>137</v>
      </c>
    </row>
    <row r="48" spans="1:20" x14ac:dyDescent="0.25">
      <c r="A48">
        <v>47</v>
      </c>
      <c r="B48">
        <v>2831070</v>
      </c>
      <c r="C48" t="s">
        <v>122</v>
      </c>
      <c r="D48" t="s">
        <v>123</v>
      </c>
      <c r="E48" t="s">
        <v>34</v>
      </c>
      <c r="F48" t="s">
        <v>31</v>
      </c>
      <c r="G48">
        <v>1988</v>
      </c>
      <c r="H48">
        <v>156624</v>
      </c>
      <c r="I48">
        <v>18</v>
      </c>
      <c r="J48">
        <v>12.1</v>
      </c>
      <c r="K48">
        <v>46.4</v>
      </c>
      <c r="L48">
        <v>0.48</v>
      </c>
      <c r="M48">
        <v>0.52</v>
      </c>
      <c r="N48">
        <v>0</v>
      </c>
      <c r="O48">
        <v>0</v>
      </c>
      <c r="P48">
        <v>100</v>
      </c>
      <c r="Q48">
        <v>0</v>
      </c>
      <c r="R48">
        <v>0</v>
      </c>
      <c r="S48" t="s">
        <v>136</v>
      </c>
    </row>
    <row r="49" spans="1:20" x14ac:dyDescent="0.25">
      <c r="A49">
        <v>48</v>
      </c>
      <c r="B49">
        <v>3114841</v>
      </c>
      <c r="C49" t="s">
        <v>124</v>
      </c>
      <c r="D49" t="s">
        <v>124</v>
      </c>
      <c r="E49" t="s">
        <v>41</v>
      </c>
      <c r="F49" t="s">
        <v>31</v>
      </c>
      <c r="G49">
        <v>1960</v>
      </c>
      <c r="H49">
        <v>69889</v>
      </c>
      <c r="I49">
        <v>56.8</v>
      </c>
      <c r="J49">
        <v>59.4</v>
      </c>
      <c r="K49">
        <v>68.900000000000006</v>
      </c>
      <c r="L49">
        <v>0.19</v>
      </c>
      <c r="M49">
        <v>0.81</v>
      </c>
      <c r="N49">
        <v>0</v>
      </c>
      <c r="O49">
        <v>0</v>
      </c>
      <c r="P49">
        <v>100</v>
      </c>
      <c r="Q49">
        <v>0</v>
      </c>
      <c r="R49">
        <v>0</v>
      </c>
      <c r="S49" t="s">
        <v>138</v>
      </c>
      <c r="T49" t="s">
        <v>140</v>
      </c>
    </row>
    <row r="50" spans="1:20" x14ac:dyDescent="0.25">
      <c r="A50">
        <v>49</v>
      </c>
      <c r="B50">
        <v>63233892</v>
      </c>
      <c r="C50" t="s">
        <v>125</v>
      </c>
      <c r="D50" t="s">
        <v>125</v>
      </c>
      <c r="E50" t="s">
        <v>30</v>
      </c>
      <c r="F50" t="s">
        <v>31</v>
      </c>
      <c r="G50">
        <v>1920</v>
      </c>
      <c r="H50">
        <v>40247</v>
      </c>
      <c r="J50">
        <v>141.1</v>
      </c>
      <c r="K50">
        <v>56.7</v>
      </c>
      <c r="L50">
        <v>0.47</v>
      </c>
      <c r="M50">
        <v>0.36</v>
      </c>
      <c r="N50">
        <v>0</v>
      </c>
      <c r="O50">
        <v>0.17</v>
      </c>
      <c r="P50">
        <v>100</v>
      </c>
      <c r="Q50">
        <v>1</v>
      </c>
      <c r="R50">
        <v>0</v>
      </c>
      <c r="S50" t="s">
        <v>137</v>
      </c>
    </row>
    <row r="51" spans="1:20" x14ac:dyDescent="0.25">
      <c r="A51">
        <v>50</v>
      </c>
      <c r="B51">
        <v>2797282</v>
      </c>
      <c r="C51" t="s">
        <v>126</v>
      </c>
      <c r="D51" t="s">
        <v>127</v>
      </c>
      <c r="E51" t="s">
        <v>30</v>
      </c>
      <c r="F51" t="s">
        <v>70</v>
      </c>
      <c r="G51">
        <v>1959</v>
      </c>
      <c r="H51">
        <v>155741</v>
      </c>
      <c r="I51">
        <v>94.5</v>
      </c>
      <c r="J51">
        <v>92.8</v>
      </c>
      <c r="K51">
        <v>74.400000000000006</v>
      </c>
      <c r="L51">
        <v>0.55000000000000004</v>
      </c>
      <c r="M51">
        <v>0.08</v>
      </c>
      <c r="N51">
        <v>0.37</v>
      </c>
      <c r="O51">
        <v>0</v>
      </c>
      <c r="P51">
        <v>100</v>
      </c>
      <c r="Q51">
        <v>0</v>
      </c>
      <c r="R51">
        <v>0</v>
      </c>
      <c r="S51" t="s">
        <v>138</v>
      </c>
      <c r="T51" t="s">
        <v>139</v>
      </c>
    </row>
  </sheetData>
  <dataValidations count="1">
    <dataValidation type="list" allowBlank="1" sqref="S2:S51" xr:uid="{00000000-0002-0000-0100-000000000000}">
      <formula1>"Plausible Anomaly,Data Error,Normal"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/>
  </sheetViews>
  <sheetFormatPr defaultRowHeight="15" x14ac:dyDescent="0.25"/>
  <sheetData>
    <row r="1" spans="1:6" x14ac:dyDescent="0.25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</row>
    <row r="2" spans="1:6" x14ac:dyDescent="0.25">
      <c r="A2">
        <v>1</v>
      </c>
      <c r="B2" t="s">
        <v>134</v>
      </c>
      <c r="C2">
        <v>-4.1680000000000001</v>
      </c>
      <c r="D2">
        <v>-2.4209999999999998</v>
      </c>
      <c r="E2">
        <v>0.56399999999999995</v>
      </c>
      <c r="F2">
        <v>0.10100000000000001</v>
      </c>
    </row>
    <row r="3" spans="1:6" x14ac:dyDescent="0.25">
      <c r="A3">
        <v>2</v>
      </c>
      <c r="B3" t="s">
        <v>134</v>
      </c>
      <c r="C3">
        <v>4.4539999999999997</v>
      </c>
      <c r="D3">
        <v>2.5470000000000002</v>
      </c>
      <c r="E3">
        <v>0.377</v>
      </c>
      <c r="F3">
        <v>1.31</v>
      </c>
    </row>
    <row r="4" spans="1:6" x14ac:dyDescent="0.25">
      <c r="A4">
        <v>3</v>
      </c>
      <c r="B4" t="s">
        <v>134</v>
      </c>
      <c r="C4">
        <v>5.7009999999999996</v>
      </c>
      <c r="D4">
        <v>3.2650000000000001</v>
      </c>
      <c r="E4">
        <v>0.40100000000000002</v>
      </c>
      <c r="F4">
        <v>0.69699999999999995</v>
      </c>
    </row>
    <row r="5" spans="1:6" x14ac:dyDescent="0.25">
      <c r="A5">
        <v>4</v>
      </c>
      <c r="B5" t="s">
        <v>135</v>
      </c>
      <c r="C5">
        <v>-0.66600000000000004</v>
      </c>
      <c r="D5">
        <v>-0.40300000000000002</v>
      </c>
      <c r="E5">
        <v>0.50800000000000001</v>
      </c>
      <c r="F5">
        <v>0.154</v>
      </c>
    </row>
    <row r="6" spans="1:6" x14ac:dyDescent="0.25">
      <c r="A6">
        <v>5</v>
      </c>
      <c r="B6" t="s">
        <v>135</v>
      </c>
      <c r="C6">
        <v>-0.626</v>
      </c>
      <c r="D6">
        <v>-0.38</v>
      </c>
      <c r="E6">
        <v>0.378</v>
      </c>
      <c r="F6">
        <v>0.65500000000000003</v>
      </c>
    </row>
    <row r="7" spans="1:6" x14ac:dyDescent="0.25">
      <c r="A7">
        <v>6</v>
      </c>
      <c r="B7" t="s">
        <v>135</v>
      </c>
      <c r="C7">
        <v>-0.62</v>
      </c>
      <c r="D7">
        <v>-0.377</v>
      </c>
      <c r="E7">
        <v>0.41</v>
      </c>
      <c r="F7">
        <v>0.48799999999999999</v>
      </c>
    </row>
    <row r="8" spans="1:6" x14ac:dyDescent="0.25">
      <c r="A8">
        <v>7</v>
      </c>
      <c r="B8" t="s">
        <v>134</v>
      </c>
      <c r="C8">
        <v>-8.7240000000000002</v>
      </c>
      <c r="D8">
        <v>-6.9089999999999998</v>
      </c>
      <c r="E8">
        <v>0.56499999999999995</v>
      </c>
      <c r="F8">
        <v>4.4999999999999998E-2</v>
      </c>
    </row>
    <row r="9" spans="1:6" x14ac:dyDescent="0.25">
      <c r="A9">
        <v>8</v>
      </c>
      <c r="B9" t="s">
        <v>134</v>
      </c>
      <c r="C9">
        <v>5.2640000000000002</v>
      </c>
      <c r="D9">
        <v>3.0129999999999999</v>
      </c>
      <c r="E9">
        <v>0.42199999999999999</v>
      </c>
      <c r="F9">
        <v>2.04</v>
      </c>
    </row>
    <row r="10" spans="1:6" x14ac:dyDescent="0.25">
      <c r="A10">
        <v>9</v>
      </c>
      <c r="B10" t="s">
        <v>134</v>
      </c>
      <c r="C10">
        <v>-9.3130000000000006</v>
      </c>
      <c r="D10">
        <v>-5.3849999999999998</v>
      </c>
      <c r="E10">
        <v>0.45300000000000001</v>
      </c>
      <c r="F10">
        <v>5.2999999999999999E-2</v>
      </c>
    </row>
    <row r="11" spans="1:6" x14ac:dyDescent="0.25">
      <c r="A11">
        <v>10</v>
      </c>
      <c r="B11" t="s">
        <v>135</v>
      </c>
      <c r="C11">
        <v>0.61099999999999999</v>
      </c>
      <c r="D11">
        <v>0.33300000000000002</v>
      </c>
      <c r="E11">
        <v>0.42199999999999999</v>
      </c>
      <c r="F11">
        <v>0.77800000000000002</v>
      </c>
    </row>
    <row r="12" spans="1:6" x14ac:dyDescent="0.25">
      <c r="A12">
        <v>11</v>
      </c>
      <c r="B12" t="s">
        <v>135</v>
      </c>
      <c r="C12">
        <v>0.59799999999999998</v>
      </c>
      <c r="D12">
        <v>0.82099999999999995</v>
      </c>
      <c r="E12">
        <v>0.51800000000000002</v>
      </c>
      <c r="F12">
        <v>0.82499999999999996</v>
      </c>
    </row>
    <row r="13" spans="1:6" x14ac:dyDescent="0.25">
      <c r="A13">
        <v>12</v>
      </c>
      <c r="B13" t="s">
        <v>135</v>
      </c>
      <c r="C13">
        <v>0.71</v>
      </c>
      <c r="D13">
        <v>0.39</v>
      </c>
      <c r="E13">
        <v>0.51100000000000001</v>
      </c>
      <c r="F13">
        <v>0.81699999999999995</v>
      </c>
    </row>
    <row r="14" spans="1:6" x14ac:dyDescent="0.25">
      <c r="A14">
        <v>13</v>
      </c>
      <c r="B14" t="s">
        <v>135</v>
      </c>
      <c r="C14">
        <v>0.68700000000000006</v>
      </c>
      <c r="D14">
        <v>0.377</v>
      </c>
      <c r="E14">
        <v>0.44500000000000001</v>
      </c>
      <c r="F14">
        <v>0.48399999999999999</v>
      </c>
    </row>
    <row r="15" spans="1:6" x14ac:dyDescent="0.25">
      <c r="A15">
        <v>14</v>
      </c>
      <c r="B15" t="s">
        <v>134</v>
      </c>
      <c r="C15">
        <v>6.1870000000000003</v>
      </c>
      <c r="D15">
        <v>3.5449999999999999</v>
      </c>
      <c r="E15">
        <v>0.49099999999999999</v>
      </c>
      <c r="F15">
        <v>1.7410000000000001</v>
      </c>
    </row>
    <row r="16" spans="1:6" x14ac:dyDescent="0.25">
      <c r="A16">
        <v>15</v>
      </c>
      <c r="B16" t="s">
        <v>134</v>
      </c>
      <c r="C16">
        <v>6.3570000000000002</v>
      </c>
      <c r="D16">
        <v>3.6429999999999998</v>
      </c>
      <c r="E16">
        <v>0.43</v>
      </c>
      <c r="F16">
        <v>4.04</v>
      </c>
    </row>
    <row r="17" spans="1:6" x14ac:dyDescent="0.25">
      <c r="A17">
        <v>16</v>
      </c>
      <c r="B17" t="s">
        <v>135</v>
      </c>
      <c r="C17">
        <v>0.59599999999999997</v>
      </c>
      <c r="D17">
        <v>0.32400000000000001</v>
      </c>
      <c r="E17">
        <v>0.35699999999999998</v>
      </c>
      <c r="F17">
        <v>0.80100000000000005</v>
      </c>
    </row>
    <row r="18" spans="1:6" x14ac:dyDescent="0.25">
      <c r="A18">
        <v>17</v>
      </c>
      <c r="B18" t="s">
        <v>135</v>
      </c>
      <c r="C18">
        <v>-0.75</v>
      </c>
      <c r="D18">
        <v>-0.45100000000000001</v>
      </c>
      <c r="E18">
        <v>0.35899999999999999</v>
      </c>
      <c r="F18">
        <v>0.56599999999999995</v>
      </c>
    </row>
    <row r="19" spans="1:6" x14ac:dyDescent="0.25">
      <c r="A19">
        <v>18</v>
      </c>
      <c r="B19" t="s">
        <v>135</v>
      </c>
      <c r="C19">
        <v>-0.67300000000000004</v>
      </c>
      <c r="D19">
        <v>-0.40699999999999997</v>
      </c>
      <c r="E19">
        <v>0.441</v>
      </c>
      <c r="F19">
        <v>0.63800000000000001</v>
      </c>
    </row>
    <row r="20" spans="1:6" x14ac:dyDescent="0.25">
      <c r="A20">
        <v>19</v>
      </c>
      <c r="B20" t="s">
        <v>134</v>
      </c>
      <c r="C20">
        <v>-5.9349999999999996</v>
      </c>
      <c r="D20">
        <v>-3.4380000000000002</v>
      </c>
      <c r="E20">
        <v>0.53</v>
      </c>
      <c r="F20">
        <v>5.1999999999999998E-2</v>
      </c>
    </row>
    <row r="21" spans="1:6" x14ac:dyDescent="0.25">
      <c r="A21">
        <v>20</v>
      </c>
      <c r="B21" t="s">
        <v>134</v>
      </c>
      <c r="C21">
        <v>-4.984</v>
      </c>
      <c r="D21">
        <v>-4.3840000000000003</v>
      </c>
      <c r="E21">
        <v>0.496</v>
      </c>
      <c r="F21">
        <v>5.6000000000000001E-2</v>
      </c>
    </row>
    <row r="22" spans="1:6" x14ac:dyDescent="0.25">
      <c r="A22">
        <v>21</v>
      </c>
      <c r="B22" t="s">
        <v>135</v>
      </c>
      <c r="C22">
        <v>-0.72</v>
      </c>
      <c r="D22">
        <v>-0.83899999999999997</v>
      </c>
      <c r="E22">
        <v>0.48399999999999999</v>
      </c>
      <c r="F22">
        <v>0.46600000000000003</v>
      </c>
    </row>
    <row r="23" spans="1:6" x14ac:dyDescent="0.25">
      <c r="A23">
        <v>22</v>
      </c>
      <c r="B23" t="s">
        <v>134</v>
      </c>
      <c r="C23">
        <v>6.89</v>
      </c>
      <c r="D23">
        <v>3.95</v>
      </c>
      <c r="E23">
        <v>0.53</v>
      </c>
      <c r="F23">
        <v>0.99</v>
      </c>
    </row>
    <row r="24" spans="1:6" x14ac:dyDescent="0.25">
      <c r="A24">
        <v>23</v>
      </c>
      <c r="B24" t="s">
        <v>134</v>
      </c>
      <c r="C24">
        <v>-4.2290000000000001</v>
      </c>
      <c r="D24">
        <v>-2.456</v>
      </c>
      <c r="E24">
        <v>0.44400000000000001</v>
      </c>
      <c r="F24">
        <v>0.11700000000000001</v>
      </c>
    </row>
    <row r="25" spans="1:6" x14ac:dyDescent="0.25">
      <c r="A25">
        <v>24</v>
      </c>
      <c r="B25" t="s">
        <v>135</v>
      </c>
      <c r="C25">
        <v>-0.64400000000000002</v>
      </c>
      <c r="D25">
        <v>-0.39</v>
      </c>
      <c r="E25">
        <v>0.371</v>
      </c>
      <c r="F25">
        <v>0.74099999999999999</v>
      </c>
    </row>
    <row r="26" spans="1:6" x14ac:dyDescent="0.25">
      <c r="A26">
        <v>25</v>
      </c>
      <c r="B26" t="s">
        <v>135</v>
      </c>
      <c r="C26">
        <v>-0.64100000000000001</v>
      </c>
      <c r="D26">
        <v>-0.96</v>
      </c>
      <c r="E26">
        <v>0.47899999999999998</v>
      </c>
      <c r="F26">
        <v>0.44500000000000001</v>
      </c>
    </row>
    <row r="27" spans="1:6" x14ac:dyDescent="0.25">
      <c r="A27">
        <v>26</v>
      </c>
      <c r="B27" t="s">
        <v>134</v>
      </c>
      <c r="C27">
        <v>4.048</v>
      </c>
      <c r="D27">
        <v>2.3130000000000002</v>
      </c>
      <c r="E27">
        <v>0.41599999999999998</v>
      </c>
      <c r="F27">
        <v>1.7909999999999999</v>
      </c>
    </row>
    <row r="28" spans="1:6" x14ac:dyDescent="0.25">
      <c r="A28">
        <v>27</v>
      </c>
      <c r="B28" t="s">
        <v>134</v>
      </c>
      <c r="C28">
        <v>-6.952</v>
      </c>
      <c r="D28">
        <v>-4.024</v>
      </c>
      <c r="E28">
        <v>0.57399999999999995</v>
      </c>
      <c r="F28">
        <v>0.16500000000000001</v>
      </c>
    </row>
    <row r="29" spans="1:6" x14ac:dyDescent="0.25">
      <c r="A29">
        <v>28</v>
      </c>
      <c r="B29" t="s">
        <v>134</v>
      </c>
      <c r="C29">
        <v>9.1549999999999994</v>
      </c>
      <c r="D29">
        <v>5.2549999999999999</v>
      </c>
      <c r="E29">
        <v>0.436</v>
      </c>
      <c r="F29">
        <v>7.093</v>
      </c>
    </row>
    <row r="30" spans="1:6" x14ac:dyDescent="0.25">
      <c r="A30">
        <v>29</v>
      </c>
      <c r="B30" t="s">
        <v>135</v>
      </c>
      <c r="C30">
        <v>-0.754</v>
      </c>
      <c r="D30">
        <v>-1.038</v>
      </c>
      <c r="E30">
        <v>0.55600000000000005</v>
      </c>
      <c r="F30">
        <v>0.33900000000000002</v>
      </c>
    </row>
    <row r="31" spans="1:6" x14ac:dyDescent="0.25">
      <c r="A31">
        <v>30</v>
      </c>
      <c r="B31" t="s">
        <v>134</v>
      </c>
      <c r="C31">
        <v>8.891</v>
      </c>
      <c r="D31">
        <v>5.1029999999999998</v>
      </c>
      <c r="E31">
        <v>0.435</v>
      </c>
      <c r="F31">
        <v>5.8239999999999998</v>
      </c>
    </row>
    <row r="32" spans="1:6" x14ac:dyDescent="0.25">
      <c r="A32">
        <v>31</v>
      </c>
      <c r="B32" t="s">
        <v>135</v>
      </c>
      <c r="C32">
        <v>0.59</v>
      </c>
      <c r="D32">
        <v>0.32</v>
      </c>
      <c r="E32">
        <v>0.45400000000000001</v>
      </c>
      <c r="F32">
        <v>0.8</v>
      </c>
    </row>
    <row r="33" spans="1:6" x14ac:dyDescent="0.25">
      <c r="A33">
        <v>32</v>
      </c>
      <c r="B33" t="s">
        <v>135</v>
      </c>
      <c r="C33">
        <v>-0.75</v>
      </c>
      <c r="D33">
        <v>-0.45100000000000001</v>
      </c>
      <c r="E33">
        <v>0.36299999999999999</v>
      </c>
      <c r="F33">
        <v>0.61499999999999999</v>
      </c>
    </row>
    <row r="34" spans="1:6" x14ac:dyDescent="0.25">
      <c r="A34">
        <v>33</v>
      </c>
      <c r="B34" t="s">
        <v>134</v>
      </c>
      <c r="C34">
        <v>4.7880000000000003</v>
      </c>
      <c r="D34">
        <v>2.7389999999999999</v>
      </c>
      <c r="E34">
        <v>0.46</v>
      </c>
      <c r="F34">
        <v>3.089</v>
      </c>
    </row>
    <row r="35" spans="1:6" x14ac:dyDescent="0.25">
      <c r="A35">
        <v>34</v>
      </c>
      <c r="B35" t="s">
        <v>134</v>
      </c>
      <c r="C35">
        <v>-4.5010000000000003</v>
      </c>
      <c r="D35">
        <v>-2.6120000000000001</v>
      </c>
      <c r="E35">
        <v>0.44</v>
      </c>
      <c r="F35">
        <v>0.16900000000000001</v>
      </c>
    </row>
    <row r="36" spans="1:6" x14ac:dyDescent="0.25">
      <c r="A36">
        <v>35</v>
      </c>
      <c r="B36" t="s">
        <v>134</v>
      </c>
      <c r="C36">
        <v>-4.484</v>
      </c>
      <c r="D36">
        <v>-3.9420000000000002</v>
      </c>
      <c r="E36">
        <v>0.47199999999999998</v>
      </c>
      <c r="F36">
        <v>0.126</v>
      </c>
    </row>
    <row r="37" spans="1:6" x14ac:dyDescent="0.25">
      <c r="A37">
        <v>36</v>
      </c>
      <c r="B37" t="s">
        <v>135</v>
      </c>
      <c r="C37">
        <v>0.72499999999999998</v>
      </c>
      <c r="D37">
        <v>0.39800000000000002</v>
      </c>
      <c r="E37">
        <v>0.46600000000000003</v>
      </c>
      <c r="F37">
        <v>0.438</v>
      </c>
    </row>
    <row r="38" spans="1:6" x14ac:dyDescent="0.25">
      <c r="A38">
        <v>37</v>
      </c>
      <c r="B38" t="s">
        <v>135</v>
      </c>
      <c r="C38">
        <v>-0.60399999999999998</v>
      </c>
      <c r="D38">
        <v>-0.36799999999999999</v>
      </c>
      <c r="E38">
        <v>0.35899999999999999</v>
      </c>
      <c r="F38">
        <v>0.51600000000000001</v>
      </c>
    </row>
    <row r="39" spans="1:6" x14ac:dyDescent="0.25">
      <c r="A39">
        <v>38</v>
      </c>
      <c r="B39" t="s">
        <v>135</v>
      </c>
      <c r="C39">
        <v>-0.69799999999999995</v>
      </c>
      <c r="D39">
        <v>-0.42099999999999999</v>
      </c>
      <c r="E39">
        <v>0.442</v>
      </c>
      <c r="F39">
        <v>0.47199999999999998</v>
      </c>
    </row>
    <row r="40" spans="1:6" x14ac:dyDescent="0.25">
      <c r="A40">
        <v>39</v>
      </c>
      <c r="B40" t="s">
        <v>135</v>
      </c>
      <c r="C40">
        <v>-0.59299999999999997</v>
      </c>
      <c r="D40">
        <v>-0.50900000000000001</v>
      </c>
      <c r="E40">
        <v>0.46400000000000002</v>
      </c>
      <c r="F40">
        <v>0.498</v>
      </c>
    </row>
    <row r="41" spans="1:6" x14ac:dyDescent="0.25">
      <c r="A41">
        <v>40</v>
      </c>
      <c r="B41" t="s">
        <v>134</v>
      </c>
      <c r="C41">
        <v>7.93</v>
      </c>
      <c r="D41">
        <v>4.5490000000000004</v>
      </c>
      <c r="E41">
        <v>0.50600000000000001</v>
      </c>
      <c r="F41">
        <v>4.97</v>
      </c>
    </row>
    <row r="42" spans="1:6" x14ac:dyDescent="0.25">
      <c r="A42">
        <v>41</v>
      </c>
      <c r="B42" t="s">
        <v>135</v>
      </c>
      <c r="C42">
        <v>0.64600000000000002</v>
      </c>
      <c r="D42">
        <v>0.35299999999999998</v>
      </c>
      <c r="E42">
        <v>0.44</v>
      </c>
      <c r="F42">
        <v>0.78600000000000003</v>
      </c>
    </row>
    <row r="43" spans="1:6" x14ac:dyDescent="0.25">
      <c r="A43">
        <v>42</v>
      </c>
      <c r="B43" t="s">
        <v>134</v>
      </c>
      <c r="C43">
        <v>-4.1500000000000004</v>
      </c>
      <c r="D43">
        <v>-2.41</v>
      </c>
      <c r="E43">
        <v>0.497</v>
      </c>
      <c r="F43">
        <v>0.11600000000000001</v>
      </c>
    </row>
    <row r="44" spans="1:6" x14ac:dyDescent="0.25">
      <c r="A44">
        <v>43</v>
      </c>
      <c r="B44" t="s">
        <v>135</v>
      </c>
      <c r="C44">
        <v>-0.70499999999999996</v>
      </c>
      <c r="D44">
        <v>-0.42499999999999999</v>
      </c>
      <c r="E44">
        <v>0.42</v>
      </c>
      <c r="F44">
        <v>0.17699999999999999</v>
      </c>
    </row>
    <row r="45" spans="1:6" x14ac:dyDescent="0.25">
      <c r="A45">
        <v>44</v>
      </c>
      <c r="B45" t="s">
        <v>135</v>
      </c>
      <c r="C45">
        <v>-0.68200000000000005</v>
      </c>
      <c r="D45">
        <v>-0.41199999999999998</v>
      </c>
      <c r="E45">
        <v>0.36799999999999999</v>
      </c>
      <c r="F45">
        <v>0.56399999999999995</v>
      </c>
    </row>
    <row r="46" spans="1:6" x14ac:dyDescent="0.25">
      <c r="A46">
        <v>45</v>
      </c>
      <c r="B46" t="s">
        <v>134</v>
      </c>
      <c r="C46">
        <v>5.57</v>
      </c>
      <c r="D46">
        <v>3.1890000000000001</v>
      </c>
      <c r="E46">
        <v>0.49099999999999999</v>
      </c>
      <c r="F46">
        <v>1.472</v>
      </c>
    </row>
    <row r="47" spans="1:6" x14ac:dyDescent="0.25">
      <c r="A47">
        <v>46</v>
      </c>
      <c r="B47" t="s">
        <v>134</v>
      </c>
      <c r="C47">
        <v>4.2960000000000003</v>
      </c>
      <c r="D47">
        <v>2.456</v>
      </c>
      <c r="E47">
        <v>0.45400000000000001</v>
      </c>
      <c r="F47">
        <v>1.91</v>
      </c>
    </row>
    <row r="48" spans="1:6" x14ac:dyDescent="0.25">
      <c r="A48">
        <v>47</v>
      </c>
      <c r="B48" t="s">
        <v>134</v>
      </c>
      <c r="C48">
        <v>-5.7060000000000004</v>
      </c>
      <c r="D48">
        <v>-3.3069999999999999</v>
      </c>
      <c r="E48">
        <v>0.42199999999999999</v>
      </c>
      <c r="F48">
        <v>0.107</v>
      </c>
    </row>
    <row r="49" spans="1:6" x14ac:dyDescent="0.25">
      <c r="A49">
        <v>48</v>
      </c>
      <c r="B49" t="s">
        <v>135</v>
      </c>
      <c r="C49">
        <v>-0.60099999999999998</v>
      </c>
      <c r="D49">
        <v>-0.36599999999999999</v>
      </c>
      <c r="E49">
        <v>0.36599999999999999</v>
      </c>
      <c r="F49">
        <v>0.52400000000000002</v>
      </c>
    </row>
    <row r="50" spans="1:6" x14ac:dyDescent="0.25">
      <c r="A50">
        <v>49</v>
      </c>
      <c r="B50" t="s">
        <v>134</v>
      </c>
      <c r="C50">
        <v>3.931</v>
      </c>
      <c r="D50">
        <v>2.2450000000000001</v>
      </c>
      <c r="E50">
        <v>0.46400000000000002</v>
      </c>
      <c r="F50">
        <v>1.2450000000000001</v>
      </c>
    </row>
    <row r="51" spans="1:6" x14ac:dyDescent="0.25">
      <c r="A51">
        <v>50</v>
      </c>
      <c r="B51" t="s">
        <v>135</v>
      </c>
      <c r="C51">
        <v>0.60199999999999998</v>
      </c>
      <c r="D51">
        <v>0.54500000000000004</v>
      </c>
      <c r="E51">
        <v>0.45400000000000001</v>
      </c>
      <c r="F51">
        <v>0.876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Audit</vt:lpstr>
      <vt:lpstr>Key (open after auditing)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Meadors</cp:lastModifiedBy>
  <dcterms:created xsi:type="dcterms:W3CDTF">2026-10-04T17:00:20Z</dcterms:created>
  <dcterms:modified xsi:type="dcterms:W3CDTF">2026-10-18T16:43:34Z</dcterms:modified>
</cp:coreProperties>
</file>